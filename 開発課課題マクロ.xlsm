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9b64b4d2cabf196/デスクトップ/"/>
    </mc:Choice>
  </mc:AlternateContent>
  <xr:revisionPtr revIDLastSave="7" documentId="8_{64AFAFEE-8690-41B4-AC7D-AA67D38F2401}" xr6:coauthVersionLast="47" xr6:coauthVersionMax="47" xr10:uidLastSave="{6605FEF5-3EE6-423F-904B-459D0BB4D63D}"/>
  <bookViews>
    <workbookView xWindow="-120" yWindow="-120" windowWidth="29040" windowHeight="15720" xr2:uid="{00000000-000D-0000-FFFF-FFFF00000000}"/>
  </bookViews>
  <sheets>
    <sheet name="表示" sheetId="1" r:id="rId1"/>
  </sheets>
  <externalReferences>
    <externalReference r:id="rId2"/>
  </externalReferences>
  <definedNames>
    <definedName name="キャラ名">[1]一覧!$B$2:$B$11</definedName>
    <definedName name="レベル">[1]一覧!$E$2:$E$16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J4" i="1"/>
  <c r="J3" i="1"/>
</calcChain>
</file>

<file path=xl/sharedStrings.xml><?xml version="1.0" encoding="utf-8"?>
<sst xmlns="http://schemas.openxmlformats.org/spreadsheetml/2006/main" count="25" uniqueCount="25">
  <si>
    <t>キャラ名</t>
    <rPh sb="3" eb="4">
      <t>メイ</t>
    </rPh>
    <phoneticPr fontId="1"/>
  </si>
  <si>
    <t>レベル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</si>
  <si>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</si>
  <si>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</si>
  <si>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</si>
  <si>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</si>
  <si>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</si>
  <si>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攻撃タイプ</t>
    <rPh sb="0" eb="2">
      <t>コウゲキ</t>
    </rPh>
    <phoneticPr fontId="1"/>
  </si>
  <si>
    <t>技名</t>
    <rPh sb="0" eb="2">
      <t>ワザメイ</t>
    </rPh>
    <phoneticPr fontId="1"/>
  </si>
  <si>
    <t>計算式（レシオ）</t>
    <rPh sb="0" eb="3">
      <t>ケイサンシキ</t>
    </rPh>
    <phoneticPr fontId="1"/>
  </si>
  <si>
    <t>ダメージ量</t>
    <rPh sb="4" eb="5">
      <t>リョウ</t>
    </rPh>
    <phoneticPr fontId="1"/>
  </si>
  <si>
    <t>エースバーン</t>
  </si>
  <si>
    <t>攻撃</t>
  </si>
  <si>
    <t>135*0.36+3*(1-1)+100</t>
  </si>
  <si>
    <t>135*0.47+3*(1-1)+130</t>
  </si>
  <si>
    <t>135*0+0*(1)+0</t>
  </si>
  <si>
    <t>135*1+7*(1-1)+135</t>
  </si>
  <si>
    <t>135*0.48+4*(1-1)+120</t>
  </si>
  <si>
    <t>135*3.45+32*(1-1)+820</t>
  </si>
  <si>
    <t>ローキック</t>
  </si>
  <si>
    <t>ニトロチャージ</t>
  </si>
  <si>
    <t>フェイント</t>
  </si>
  <si>
    <t>ひのこ</t>
  </si>
  <si>
    <t>ブレイズキック</t>
  </si>
  <si>
    <t>かえんボール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</si>
</sst>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メイリオ"/>
      <family val="3"/>
      <charset val="128"/>
    </font>
    <font>
      <b/>
      <sz val="16"/>
      <color rgb="FF008080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" fontId="2" fillId="2" borderId="3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1" fontId="2" fillId="2" borderId="8" xfId="0" applyNumberFormat="1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" fontId="2" fillId="2" borderId="10" xfId="0" applyNumberFormat="1" applyFont="1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0</xdr:rowOff>
        </xdr:from>
        <xdr:to>
          <xdr:col>3</xdr:col>
          <xdr:colOff>28575</xdr:colOff>
          <xdr:row>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8080"/>
                  </a:solidFill>
                  <a:latin typeface="メイリオ"/>
                  <a:ea typeface="メイリオ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09b64b4d2cabf196/&#12487;&#12473;&#12463;&#12488;&#12483;&#12503;/&#38283;&#30330;&#35506;&#35506;&#38988;DB.xlsx" TargetMode="External"/><Relationship Id="rId1" Type="http://schemas.openxmlformats.org/officeDocument/2006/relationships/externalLinkPath" Target="&#38283;&#30330;&#35506;&#35506;&#38988;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一覧"/>
      <sheetName val="エースバーン"/>
    </sheetNames>
    <sheetDataSet>
      <sheetData sheetId="0">
        <row r="2">
          <cell r="B2" t="str">
            <v>エースバーン</v>
          </cell>
          <cell r="E2">
            <v>1</v>
          </cell>
        </row>
        <row r="3">
          <cell r="B3" t="str">
            <v>カビゴン</v>
          </cell>
          <cell r="E3">
            <v>2</v>
          </cell>
        </row>
        <row r="4">
          <cell r="B4" t="str">
            <v>サーナイト</v>
          </cell>
          <cell r="E4">
            <v>3</v>
          </cell>
        </row>
        <row r="5">
          <cell r="E5">
            <v>4</v>
          </cell>
        </row>
        <row r="6">
          <cell r="E6">
            <v>5</v>
          </cell>
        </row>
        <row r="7">
          <cell r="E7">
            <v>6</v>
          </cell>
        </row>
        <row r="8">
          <cell r="E8">
            <v>7</v>
          </cell>
        </row>
        <row r="9">
          <cell r="E9">
            <v>8</v>
          </cell>
        </row>
        <row r="10">
          <cell r="E10">
            <v>9</v>
          </cell>
        </row>
        <row r="11">
          <cell r="E11">
            <v>10</v>
          </cell>
        </row>
        <row r="12">
          <cell r="E12">
            <v>11</v>
          </cell>
        </row>
        <row r="13">
          <cell r="E13">
            <v>12</v>
          </cell>
        </row>
        <row r="14">
          <cell r="E14">
            <v>13</v>
          </cell>
        </row>
        <row r="15">
          <cell r="E15">
            <v>14</v>
          </cell>
        </row>
        <row r="16">
          <cell r="E16">
            <v>15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"/>
  <sheetViews>
    <sheetView tabSelected="1" workbookViewId="0">
      <selection activeCell="L10" sqref="L10"/>
    </sheetView>
  </sheetViews>
  <sheetFormatPr defaultRowHeight="18.75"/>
  <cols>
    <col min="1" max="1" width="0.625" style="1" customWidth="1"/>
    <col min="2" max="2" width="13.25" style="1" bestFit="1" customWidth="1"/>
    <col min="3" max="3" width="9" style="1"/>
    <col min="4" max="4" width="0.625" style="1" customWidth="1"/>
    <col min="5" max="5" width="5.25" style="1" bestFit="1" customWidth="1"/>
    <col min="6" max="6" width="9" style="1"/>
    <col min="7" max="7" width="0.625" style="1" customWidth="1"/>
    <col min="8" max="8" width="15.375" style="1" bestFit="1" customWidth="1"/>
    <col min="9" max="9" width="26.5" style="1" bestFit="1" customWidth="1"/>
    <col min="10" max="10" width="10.625" style="2" bestFit="1" customWidth="1"/>
    <col min="11" max="11" width="0.625" style="1" customWidth="1"/>
    <col min="12" max="16384" width="9" style="1"/>
  </cols>
  <sheetData>
    <row r="1" spans="1:11" ht="3.75" customHeight="1">
      <c r="A1" s="3"/>
      <c r="B1" s="4"/>
      <c r="C1" s="4"/>
      <c r="D1" s="4"/>
      <c r="E1" s="4"/>
      <c r="F1" s="4"/>
      <c r="G1" s="4"/>
      <c r="H1" s="4"/>
      <c r="I1" s="4"/>
      <c r="J1" s="5"/>
      <c r="K1" s="12"/>
    </row>
    <row r="2" spans="1:11">
      <c r="A2" s="6"/>
      <c r="B2" s="10" t="s">
        <v>0</v>
      </c>
      <c r="C2" s="10" t="s">
        <v>1</v>
      </c>
      <c r="D2" s="11"/>
      <c r="E2" s="10" t="s">
        <v>2</v>
      </c>
      <c r="F2" s="10">
        <v>3000</v>
      </c>
      <c r="G2" s="11"/>
      <c r="H2" s="10" t="s">
        <v>8</v>
      </c>
      <c r="I2" s="10" t="s">
        <v>9</v>
      </c>
      <c r="J2" s="15" t="s">
        <v>10</v>
      </c>
      <c r="K2" s="13"/>
    </row>
    <row r="3" spans="1:11">
      <c r="A3" s="6"/>
      <c r="B3" s="10" t="s">
        <v>11</v>
      </c>
      <c r="C3" s="10">
        <v>1</v>
      </c>
      <c r="D3" s="11"/>
      <c r="E3" s="10" t="s">
        <v>3</v>
      </c>
      <c r="F3" s="10">
        <v>135</v>
      </c>
      <c r="G3" s="11"/>
      <c r="H3" s="10" t="s">
        <v>19</v>
      </c>
      <c r="I3" s="10" t="s">
        <v>13</v>
      </c>
      <c r="J3" s="15">
        <f>135*0.36+3*(1-1)+100</f>
        <v>148.6</v>
      </c>
      <c r="K3" s="13"/>
    </row>
    <row r="4" spans="1:11">
      <c r="A4" s="6"/>
      <c r="B4" s="10" t="s">
        <v>7</v>
      </c>
      <c r="C4" s="10" t="s">
        <v>12</v>
      </c>
      <c r="D4" s="11"/>
      <c r="E4" s="10" t="s">
        <v>4</v>
      </c>
      <c r="F4" s="10">
        <v>50</v>
      </c>
      <c r="G4" s="11"/>
      <c r="H4" s="10" t="s">
        <v>20</v>
      </c>
      <c r="I4" s="10" t="s">
        <v>14</v>
      </c>
      <c r="J4" s="15">
        <f>135*0.47+3*(1-1)+130</f>
        <v>193.45</v>
      </c>
      <c r="K4" s="13"/>
    </row>
    <row r="5" spans="1:11">
      <c r="A5" s="6"/>
      <c r="B5" s="11"/>
      <c r="C5" s="11"/>
      <c r="D5" s="11"/>
      <c r="E5" s="10" t="s">
        <v>5</v>
      </c>
      <c r="F5" s="10">
        <v>20</v>
      </c>
      <c r="G5" s="11"/>
      <c r="H5" s="10" t="s">
        <v>21</v>
      </c>
      <c r="I5" s="10" t="s">
        <v>15</v>
      </c>
      <c r="J5" s="15">
        <f>135*0+0*(1)+0</f>
        <v>0</v>
      </c>
      <c r="K5" s="13"/>
    </row>
    <row r="6" spans="1:11">
      <c r="A6" s="6"/>
      <c r="B6" s="11"/>
      <c r="C6" s="11"/>
      <c r="D6" s="11"/>
      <c r="E6" s="10" t="s">
        <v>6</v>
      </c>
      <c r="F6" s="10">
        <v>30</v>
      </c>
      <c r="G6" s="11"/>
      <c r="H6" s="10" t="s">
        <v>22</v>
      </c>
      <c r="I6" s="10" t="s">
        <v>16</v>
      </c>
      <c r="J6" s="15">
        <f>135*1+7*(1-1)+135</f>
        <v>270</v>
      </c>
      <c r="K6" s="13"/>
    </row>
    <row r="7" spans="1:11">
      <c r="A7" s="6"/>
      <c r="B7" s="11"/>
      <c r="C7" s="11"/>
      <c r="D7" s="11"/>
      <c r="E7" s="11"/>
      <c r="F7" s="11"/>
      <c r="G7" s="11"/>
      <c r="H7" s="10" t="s">
        <v>23</v>
      </c>
      <c r="I7" s="10" t="s">
        <v>17</v>
      </c>
      <c r="J7" s="15">
        <f>135*0.48+4*(1-1)+120</f>
        <v>184.8</v>
      </c>
      <c r="K7" s="13"/>
    </row>
    <row r="8" spans="1:11" ht="19.5" thickBot="1">
      <c r="A8" s="7"/>
      <c r="B8" s="8"/>
      <c r="C8" s="8"/>
      <c r="D8" s="8"/>
      <c r="E8" s="8"/>
      <c r="F8" s="8"/>
      <c r="G8" s="8"/>
      <c r="H8" s="10" t="s">
        <v>24</v>
      </c>
      <c r="I8" s="10" t="s">
        <v>18</v>
      </c>
      <c r="J8" s="15">
        <f>135*3.45+32*(1-1)+820</f>
        <v>1285.75</v>
      </c>
      <c r="K8" s="14"/>
    </row>
    <row r="9" spans="1:11" ht="3.75" customHeight="1" thickBot="1">
      <c r="A9" s="7"/>
      <c r="B9" s="7"/>
      <c r="C9" s="8"/>
      <c r="D9" s="8"/>
      <c r="E9" s="8"/>
      <c r="F9" s="8"/>
      <c r="G9" s="8"/>
      <c r="H9" s="8"/>
      <c r="I9" s="8"/>
      <c r="J9" s="9"/>
    </row>
  </sheetData>
  <phoneticPr fontId="1"/>
  <dataValidations count="2">
    <dataValidation type="list" allowBlank="1" showInputMessage="1" showErrorMessage="1" sqref="B3" xr:uid="{E4453A6F-4C58-4EB0-BB8C-A0F5F709A2DF}">
      <formula1>INDIRECT("キャラ名")</formula1>
    </dataValidation>
    <dataValidation type="list" allowBlank="1" showInputMessage="1" showErrorMessage="1" sqref="C3" xr:uid="{C3273AEB-B1D5-46A2-A2C6-615B4A174CD7}">
      <formula1>INDIRECT("レベル")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表示">
                <anchor moveWithCells="1" sizeWithCells="1">
                  <from>
                    <xdr:col>1</xdr:col>
                    <xdr:colOff>28575</xdr:colOff>
                    <xdr:row>4</xdr:row>
                    <xdr:rowOff>0</xdr:rowOff>
                  </from>
                  <to>
                    <xdr:col>3</xdr:col>
                    <xdr:colOff>28575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拓海内藤</dc:creator>
  <cp:lastModifiedBy>内藤 拓海</cp:lastModifiedBy>
  <dcterms:created xsi:type="dcterms:W3CDTF">2015-06-05T18:19:34Z</dcterms:created>
  <dcterms:modified xsi:type="dcterms:W3CDTF">2024-07-28T16:46:29Z</dcterms:modified>
</cp:coreProperties>
</file>